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M\CTNavigator-clone\Hardware\"/>
    </mc:Choice>
  </mc:AlternateContent>
  <xr:revisionPtr revIDLastSave="0" documentId="8_{72644861-E9B4-487E-81C0-B3E514D5807C}" xr6:coauthVersionLast="47" xr6:coauthVersionMax="47" xr10:uidLastSave="{00000000-0000-0000-0000-000000000000}"/>
  <bookViews>
    <workbookView xWindow="-108" yWindow="-108" windowWidth="23256" windowHeight="12456" xr2:uid="{3FF3EAEC-FFE6-4DD8-8167-FC783F1AB128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2" i="1" l="1"/>
  <c r="Y23" i="1"/>
  <c r="X22" i="1"/>
  <c r="X23" i="1"/>
  <c r="W22" i="1"/>
  <c r="W23" i="1"/>
  <c r="Y21" i="1"/>
  <c r="X21" i="1"/>
  <c r="W21" i="1"/>
  <c r="S21" i="1"/>
  <c r="T21" i="1"/>
  <c r="R21" i="1"/>
  <c r="R25" i="1"/>
  <c r="R26" i="1"/>
  <c r="R24" i="1"/>
  <c r="P26" i="1"/>
  <c r="O26" i="1"/>
  <c r="N26" i="1"/>
  <c r="O25" i="1"/>
  <c r="P25" i="1"/>
  <c r="N25" i="1"/>
  <c r="O24" i="1"/>
  <c r="P24" i="1"/>
  <c r="N24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C43" i="1"/>
  <c r="D43" i="1"/>
  <c r="E43" i="1"/>
  <c r="F43" i="1"/>
  <c r="C42" i="1"/>
  <c r="D42" i="1"/>
  <c r="E42" i="1"/>
  <c r="F42" i="1"/>
  <c r="C41" i="1"/>
  <c r="D41" i="1"/>
  <c r="E41" i="1"/>
  <c r="F41" i="1"/>
  <c r="B43" i="1"/>
  <c r="B42" i="1"/>
  <c r="B41" i="1"/>
  <c r="U33" i="1"/>
  <c r="U34" i="1"/>
  <c r="U35" i="1"/>
  <c r="U36" i="1"/>
  <c r="T33" i="1"/>
  <c r="T34" i="1"/>
  <c r="T35" i="1"/>
  <c r="T36" i="1"/>
  <c r="T32" i="1"/>
  <c r="U32" i="1"/>
  <c r="Q33" i="1"/>
  <c r="Q34" i="1"/>
  <c r="Q35" i="1"/>
  <c r="Q36" i="1"/>
  <c r="R33" i="1"/>
  <c r="R34" i="1"/>
  <c r="R35" i="1"/>
  <c r="R36" i="1"/>
  <c r="S33" i="1"/>
  <c r="S34" i="1"/>
  <c r="S35" i="1"/>
  <c r="S36" i="1"/>
  <c r="S32" i="1"/>
  <c r="R32" i="1"/>
  <c r="Q32" i="1"/>
  <c r="P33" i="1"/>
  <c r="P34" i="1"/>
  <c r="P35" i="1"/>
  <c r="P36" i="1"/>
  <c r="P32" i="1"/>
  <c r="F5" i="1"/>
  <c r="F6" i="1"/>
  <c r="F7" i="1"/>
  <c r="F8" i="1"/>
  <c r="D15" i="1"/>
  <c r="D5" i="1" s="1"/>
  <c r="D16" i="1"/>
  <c r="D6" i="1" s="1"/>
  <c r="D17" i="1"/>
  <c r="D7" i="1" s="1"/>
  <c r="D18" i="1"/>
  <c r="D8" i="1" s="1"/>
  <c r="D14" i="1"/>
  <c r="D4" i="1" s="1"/>
  <c r="C5" i="1"/>
  <c r="C6" i="1"/>
  <c r="C7" i="1"/>
  <c r="C8" i="1"/>
  <c r="C4" i="1"/>
  <c r="G8" i="1"/>
  <c r="G7" i="1"/>
  <c r="G6" i="1"/>
  <c r="G5" i="1"/>
  <c r="G4" i="1"/>
  <c r="F4" i="1"/>
  <c r="E8" i="1"/>
  <c r="E7" i="1"/>
  <c r="E6" i="1"/>
  <c r="E5" i="1"/>
  <c r="E4" i="1"/>
  <c r="B5" i="1"/>
  <c r="B6" i="1"/>
  <c r="B7" i="1"/>
  <c r="B8" i="1"/>
  <c r="B4" i="1"/>
  <c r="N10" i="1" l="1"/>
  <c r="N11" i="1" s="1"/>
  <c r="O10" i="1"/>
  <c r="O11" i="1" s="1"/>
  <c r="P10" i="1"/>
  <c r="P11" i="1" s="1"/>
  <c r="N9" i="1"/>
  <c r="N12" i="1" s="1"/>
  <c r="O9" i="1"/>
  <c r="O12" i="1" s="1"/>
  <c r="P9" i="1"/>
  <c r="P12" i="1" s="1"/>
  <c r="U38" i="1"/>
  <c r="U39" i="1" s="1"/>
  <c r="U37" i="1"/>
  <c r="U40" i="1" s="1"/>
  <c r="T38" i="1"/>
  <c r="T39" i="1" s="1"/>
  <c r="T37" i="1"/>
  <c r="T40" i="1" s="1"/>
  <c r="P38" i="1"/>
  <c r="P39" i="1" s="1"/>
  <c r="Q38" i="1"/>
  <c r="Q39" i="1" s="1"/>
  <c r="R38" i="1"/>
  <c r="R39" i="1" s="1"/>
  <c r="S37" i="1"/>
  <c r="S40" i="1" s="1"/>
  <c r="P37" i="1"/>
  <c r="P40" i="1" s="1"/>
  <c r="Q37" i="1"/>
  <c r="Q40" i="1" s="1"/>
  <c r="R37" i="1"/>
  <c r="R40" i="1" s="1"/>
  <c r="S38" i="1"/>
  <c r="S39" i="1" s="1"/>
  <c r="C9" i="1"/>
  <c r="C12" i="1" s="1"/>
  <c r="G9" i="1"/>
  <c r="G12" i="1" s="1"/>
  <c r="E9" i="1"/>
  <c r="E12" i="1" s="1"/>
  <c r="E10" i="1"/>
  <c r="E11" i="1" s="1"/>
  <c r="G10" i="1"/>
  <c r="G11" i="1" s="1"/>
  <c r="F9" i="1"/>
  <c r="F12" i="1" s="1"/>
  <c r="F10" i="1"/>
  <c r="F11" i="1" s="1"/>
  <c r="D9" i="1"/>
  <c r="D12" i="1" s="1"/>
  <c r="D10" i="1"/>
  <c r="D11" i="1" s="1"/>
  <c r="C10" i="1"/>
  <c r="C11" i="1" s="1"/>
  <c r="B10" i="1"/>
  <c r="B11" i="1" s="1"/>
  <c r="B9" i="1"/>
  <c r="B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tc={159CAEBB-DB9D-466F-8E62-A2EC9E0119A9}</author>
  </authors>
  <commentList>
    <comment ref="D2" authorId="0" shapeId="0" xr:uid="{159CAEBB-DB9D-466F-8E62-A2EC9E0119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dos medidas de calibre</t>
      </text>
    </comment>
  </commentList>
</comments>
</file>

<file path=xl/sharedStrings.xml><?xml version="1.0" encoding="utf-8"?>
<sst xmlns="http://schemas.openxmlformats.org/spreadsheetml/2006/main" count="84" uniqueCount="46">
  <si>
    <t>AB</t>
  </si>
  <si>
    <t>BC</t>
  </si>
  <si>
    <t>CD</t>
  </si>
  <si>
    <t>DB</t>
  </si>
  <si>
    <t>AC</t>
  </si>
  <si>
    <t>AD</t>
  </si>
  <si>
    <t>Teórica</t>
  </si>
  <si>
    <t>Reales</t>
  </si>
  <si>
    <t>Media</t>
  </si>
  <si>
    <t>Medidas Instrumento (mm)</t>
  </si>
  <si>
    <t>Medidas raw</t>
  </si>
  <si>
    <t>Mitutoyo IP67 ABS Digimatic Coolant Proof Caliper, 150 mm</t>
  </si>
  <si>
    <t>Resolución</t>
  </si>
  <si>
    <t>Precisión</t>
  </si>
  <si>
    <t>0.01</t>
  </si>
  <si>
    <t>0.02</t>
  </si>
  <si>
    <t>Desviación típica muestral</t>
  </si>
  <si>
    <t>Error estándar de la media</t>
  </si>
  <si>
    <t>Las medidas se reportan como media ± s, donde s denota la desviación típica muestral (n−1) calculada sobre 5 repeticiones.</t>
  </si>
  <si>
    <t>Diferencia con teórica</t>
  </si>
  <si>
    <t>https://www.mitutoyo.com/webfoo/wp-content/uploads/E12047.pdf</t>
  </si>
  <si>
    <t>Marcador de referencia</t>
  </si>
  <si>
    <t>AB'</t>
  </si>
  <si>
    <t>BC'</t>
  </si>
  <si>
    <t>CD'</t>
  </si>
  <si>
    <t>DA'</t>
  </si>
  <si>
    <t>Para cada distancia se calcularon la media muestral dˉ\bar{d} dˉ, la desviación típica muestral ss s (estimador insesgado, n−1) y el error estándar de la media SEM=s/n\text{SEM} = s/\sqrt{n} SEM=s/n​, con n=5.</t>
  </si>
  <si>
    <t>AC'</t>
  </si>
  <si>
    <t>BD'</t>
  </si>
  <si>
    <t>TA</t>
  </si>
  <si>
    <t>TB</t>
  </si>
  <si>
    <t>TC</t>
  </si>
  <si>
    <t>TD</t>
  </si>
  <si>
    <t>Coordenadas globales</t>
  </si>
  <si>
    <t>T</t>
  </si>
  <si>
    <t>A</t>
  </si>
  <si>
    <t>B</t>
  </si>
  <si>
    <t>C</t>
  </si>
  <si>
    <t>D</t>
  </si>
  <si>
    <t>X</t>
  </si>
  <si>
    <t>Y</t>
  </si>
  <si>
    <t>Z</t>
  </si>
  <si>
    <t>Coordenadas locales</t>
  </si>
  <si>
    <t>Marcador de referencia 2</t>
  </si>
  <si>
    <t>CA</t>
  </si>
  <si>
    <t>CA'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</si>
</sst>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9" xfId="0" applyFont="1" applyBorder="1"/>
    <xf numFmtId="0" fontId="0" fillId="2" borderId="9" xfId="0" applyFill="1" applyBorder="1"/>
    <xf numFmtId="0" fontId="0" fillId="3" borderId="9" xfId="0" applyFill="1" applyBorder="1"/>
    <xf numFmtId="0" fontId="0" fillId="4" borderId="9" xfId="0" applyFill="1" applyBorder="1"/>
    <xf numFmtId="0" fontId="0" fillId="5" borderId="9" xfId="0" applyFill="1" applyBorder="1"/>
    <xf numFmtId="0" fontId="0" fillId="6" borderId="0" xfId="0" applyFill="1"/>
    <xf numFmtId="0" fontId="1" fillId="6" borderId="9" xfId="0" applyFont="1" applyFill="1" applyBorder="1"/>
    <xf numFmtId="0" fontId="0" fillId="6" borderId="1" xfId="0" applyFill="1" applyBorder="1"/>
    <xf numFmtId="0" fontId="2" fillId="6" borderId="3" xfId="0" applyFont="1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1" fillId="0" borderId="10" xfId="0" applyFont="1" applyBorder="1"/>
    <xf numFmtId="0" fontId="0" fillId="4" borderId="10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derico Sangineto Cotrina" id="{B5D5EB4B-5798-4E34-BC94-7C9EADEDCBA0}" userId="ac86fff0a20a98ca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5-10T15:59:46.78" personId="{B5D5EB4B-5798-4E34-BC94-7C9EADEDCBA0}" id="{159CAEBB-DB9D-466F-8E62-A2EC9E0119A9}">
    <text>dos medidas de calibre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B5C0-0CEB-4463-B459-C12AE5815D24}">
  <dimension ref="A1:Y46"/>
  <sheetViews>
    <sheetView tabSelected="1" workbookViewId="0">
      <selection activeCell="Y15" sqref="Y15"/>
    </sheetView>
  </sheetViews>
  <sheetFormatPr baseColWidth="10" defaultRowHeight="14.4" x14ac:dyDescent="0.3"/>
  <cols>
    <col min="1" max="1" width="26.5546875" customWidth="1"/>
    <col min="2" max="2" width="11.6640625" bestFit="1" customWidth="1"/>
    <col min="10" max="10" width="26" customWidth="1"/>
    <col min="13" max="13" width="27.33203125" customWidth="1"/>
  </cols>
  <sheetData>
    <row r="1" spans="1:16" x14ac:dyDescent="0.3">
      <c r="A1" s="9" t="s">
        <v>9</v>
      </c>
      <c r="B1" s="9"/>
      <c r="C1" s="9"/>
      <c r="D1" s="9"/>
      <c r="E1" s="9"/>
      <c r="F1" s="9"/>
      <c r="G1" s="9"/>
      <c r="M1" t="s">
        <v>43</v>
      </c>
    </row>
    <row r="2" spans="1:16" x14ac:dyDescent="0.3">
      <c r="A2" s="10"/>
      <c r="B2" s="10" t="s">
        <v>1</v>
      </c>
      <c r="C2" s="10" t="s">
        <v>2</v>
      </c>
      <c r="D2" s="10" t="s">
        <v>3</v>
      </c>
      <c r="E2" s="10" t="s">
        <v>0</v>
      </c>
      <c r="F2" s="10" t="s">
        <v>4</v>
      </c>
      <c r="G2" s="10" t="s">
        <v>5</v>
      </c>
      <c r="H2" s="23" t="s">
        <v>29</v>
      </c>
      <c r="I2" s="23" t="s">
        <v>30</v>
      </c>
      <c r="J2" s="23" t="s">
        <v>31</v>
      </c>
      <c r="K2" s="23" t="s">
        <v>32</v>
      </c>
      <c r="M2" s="10"/>
      <c r="N2" s="10" t="s">
        <v>22</v>
      </c>
      <c r="O2" s="10" t="s">
        <v>23</v>
      </c>
      <c r="P2" s="10" t="s">
        <v>45</v>
      </c>
    </row>
    <row r="3" spans="1:16" x14ac:dyDescent="0.3">
      <c r="A3" s="10" t="s">
        <v>6</v>
      </c>
      <c r="B3" s="13">
        <v>111.253</v>
      </c>
      <c r="C3" s="13">
        <v>69.3</v>
      </c>
      <c r="D3" s="13">
        <v>168.53</v>
      </c>
      <c r="E3" s="13">
        <v>71.3</v>
      </c>
      <c r="F3" s="13">
        <v>56.616</v>
      </c>
      <c r="G3" s="13">
        <v>100.786</v>
      </c>
      <c r="H3" s="24">
        <v>64.203000000000003</v>
      </c>
      <c r="I3" s="24">
        <v>40.707999999999998</v>
      </c>
      <c r="J3">
        <v>114.455</v>
      </c>
      <c r="K3">
        <v>164.25899999999999</v>
      </c>
      <c r="M3" s="10" t="s">
        <v>6</v>
      </c>
      <c r="N3" s="13">
        <v>30.021999999999998</v>
      </c>
      <c r="O3" s="13">
        <v>35.622999999999998</v>
      </c>
      <c r="P3" s="13">
        <v>21.503</v>
      </c>
    </row>
    <row r="4" spans="1:16" x14ac:dyDescent="0.3">
      <c r="A4" s="10" t="s">
        <v>7</v>
      </c>
      <c r="B4" s="9">
        <f t="shared" ref="B4:G4" si="0">B14-12.5</f>
        <v>111.34</v>
      </c>
      <c r="C4" s="9">
        <f t="shared" si="0"/>
        <v>69.84</v>
      </c>
      <c r="D4" s="9">
        <f t="shared" si="0"/>
        <v>167.53</v>
      </c>
      <c r="E4" s="9">
        <f t="shared" si="0"/>
        <v>71.55</v>
      </c>
      <c r="F4" s="9">
        <f t="shared" si="0"/>
        <v>54.61</v>
      </c>
      <c r="G4" s="9">
        <f t="shared" si="0"/>
        <v>100.69</v>
      </c>
      <c r="M4" s="10" t="s">
        <v>7</v>
      </c>
      <c r="N4" s="9">
        <f t="shared" ref="N4:P8" si="1">N14-12.5</f>
        <v>30.630000000000003</v>
      </c>
      <c r="O4" s="9">
        <f t="shared" si="1"/>
        <v>34.299999999999997</v>
      </c>
      <c r="P4" s="9">
        <f t="shared" si="1"/>
        <v>23.909999999999997</v>
      </c>
    </row>
    <row r="5" spans="1:16" x14ac:dyDescent="0.3">
      <c r="A5" s="10"/>
      <c r="B5" s="9">
        <f t="shared" ref="B5:E8" si="2">B15-12.5</f>
        <v>110.63</v>
      </c>
      <c r="C5" s="9">
        <f t="shared" si="2"/>
        <v>69.430000000000007</v>
      </c>
      <c r="D5" s="9">
        <f t="shared" si="2"/>
        <v>170.26</v>
      </c>
      <c r="E5" s="9">
        <f t="shared" si="2"/>
        <v>71.59</v>
      </c>
      <c r="F5" s="9">
        <f t="shared" ref="F5:G8" si="3">F15-12.5</f>
        <v>54.8</v>
      </c>
      <c r="G5" s="9">
        <f t="shared" si="3"/>
        <v>101.14</v>
      </c>
      <c r="M5" s="10"/>
      <c r="N5" s="9">
        <f t="shared" si="1"/>
        <v>30.490000000000002</v>
      </c>
      <c r="O5" s="9">
        <f t="shared" si="1"/>
        <v>34.03</v>
      </c>
      <c r="P5" s="9">
        <f t="shared" si="1"/>
        <v>24.299999999999997</v>
      </c>
    </row>
    <row r="6" spans="1:16" x14ac:dyDescent="0.3">
      <c r="A6" s="10"/>
      <c r="B6" s="9">
        <f t="shared" si="2"/>
        <v>111.32</v>
      </c>
      <c r="C6" s="9">
        <f t="shared" si="2"/>
        <v>70.11</v>
      </c>
      <c r="D6" s="9">
        <f t="shared" si="2"/>
        <v>167.57999999999998</v>
      </c>
      <c r="E6" s="9">
        <f t="shared" si="2"/>
        <v>71.66</v>
      </c>
      <c r="F6" s="9">
        <f t="shared" si="3"/>
        <v>54.7</v>
      </c>
      <c r="G6" s="9">
        <f t="shared" si="3"/>
        <v>100.94</v>
      </c>
      <c r="M6" s="10"/>
      <c r="N6" s="9">
        <f t="shared" si="1"/>
        <v>30.490000000000002</v>
      </c>
      <c r="O6" s="9">
        <f t="shared" si="1"/>
        <v>33.18</v>
      </c>
      <c r="P6" s="9">
        <f t="shared" si="1"/>
        <v>24.36</v>
      </c>
    </row>
    <row r="7" spans="1:16" x14ac:dyDescent="0.3">
      <c r="A7" s="10"/>
      <c r="B7" s="9">
        <f t="shared" si="2"/>
        <v>111.91</v>
      </c>
      <c r="C7" s="9">
        <f t="shared" si="2"/>
        <v>70.12</v>
      </c>
      <c r="D7" s="9">
        <f t="shared" si="2"/>
        <v>168.99</v>
      </c>
      <c r="E7" s="9">
        <f t="shared" si="2"/>
        <v>71.66</v>
      </c>
      <c r="F7" s="9">
        <f t="shared" si="3"/>
        <v>54.95</v>
      </c>
      <c r="G7" s="9">
        <f t="shared" si="3"/>
        <v>100.17</v>
      </c>
      <c r="M7" s="10"/>
      <c r="N7" s="9">
        <f t="shared" si="1"/>
        <v>30.53</v>
      </c>
      <c r="O7" s="9">
        <f t="shared" si="1"/>
        <v>32.94</v>
      </c>
      <c r="P7" s="9">
        <f t="shared" si="1"/>
        <v>23.200000000000003</v>
      </c>
    </row>
    <row r="8" spans="1:16" x14ac:dyDescent="0.3">
      <c r="A8" s="10"/>
      <c r="B8" s="9">
        <f t="shared" si="2"/>
        <v>110.74</v>
      </c>
      <c r="C8" s="9">
        <f t="shared" si="2"/>
        <v>69.88</v>
      </c>
      <c r="D8" s="9">
        <f t="shared" si="2"/>
        <v>168.34</v>
      </c>
      <c r="E8" s="9">
        <f t="shared" si="2"/>
        <v>71.62</v>
      </c>
      <c r="F8" s="9">
        <f t="shared" si="3"/>
        <v>54.64</v>
      </c>
      <c r="G8" s="9">
        <f t="shared" si="3"/>
        <v>100.87</v>
      </c>
      <c r="M8" s="10"/>
      <c r="N8" s="9">
        <f t="shared" si="1"/>
        <v>30.549999999999997</v>
      </c>
      <c r="O8" s="9">
        <f t="shared" si="1"/>
        <v>33.92</v>
      </c>
      <c r="P8" s="9">
        <f t="shared" si="1"/>
        <v>24.299999999999997</v>
      </c>
    </row>
    <row r="9" spans="1:16" x14ac:dyDescent="0.3">
      <c r="A9" s="10" t="s">
        <v>8</v>
      </c>
      <c r="B9" s="11">
        <f t="shared" ref="B9:G9" si="4">AVERAGE(B4:B8)</f>
        <v>111.18799999999999</v>
      </c>
      <c r="C9" s="11">
        <f t="shared" si="4"/>
        <v>69.876000000000005</v>
      </c>
      <c r="D9" s="11">
        <f t="shared" si="4"/>
        <v>168.54</v>
      </c>
      <c r="E9" s="11">
        <f t="shared" si="4"/>
        <v>71.616</v>
      </c>
      <c r="F9" s="11">
        <f t="shared" si="4"/>
        <v>54.739999999999995</v>
      </c>
      <c r="G9" s="11">
        <f t="shared" si="4"/>
        <v>100.762</v>
      </c>
      <c r="M9" s="10" t="s">
        <v>8</v>
      </c>
      <c r="N9" s="11">
        <f>AVERAGE(N4:N8)</f>
        <v>30.538</v>
      </c>
      <c r="O9" s="11">
        <f>AVERAGE(O4:O8)</f>
        <v>33.673999999999999</v>
      </c>
      <c r="P9" s="11">
        <f>AVERAGE(P4:P8)</f>
        <v>24.013999999999999</v>
      </c>
    </row>
    <row r="10" spans="1:16" x14ac:dyDescent="0.3">
      <c r="A10" s="10" t="s">
        <v>16</v>
      </c>
      <c r="B10" s="12">
        <f t="shared" ref="B10:G10" si="5">_xlfn.STDEV.S(B4:B8)</f>
        <v>0.51814090747594999</v>
      </c>
      <c r="C10" s="12">
        <f t="shared" si="5"/>
        <v>0.28041041350135143</v>
      </c>
      <c r="D10" s="12">
        <f t="shared" si="5"/>
        <v>1.133865071337856</v>
      </c>
      <c r="E10" s="12">
        <f t="shared" si="5"/>
        <v>4.7222875812469409E-2</v>
      </c>
      <c r="F10" s="12">
        <f t="shared" si="5"/>
        <v>0.13802173741842319</v>
      </c>
      <c r="G10" s="12">
        <f t="shared" si="5"/>
        <v>0.36806249469349595</v>
      </c>
      <c r="M10" s="10" t="s">
        <v>16</v>
      </c>
      <c r="N10" s="12">
        <f>_xlfn.STDEV.S(N4:N8)</f>
        <v>5.7619441163551742E-2</v>
      </c>
      <c r="O10" s="12">
        <f>_xlfn.STDEV.S(O4:O8)</f>
        <v>0.58350664092193538</v>
      </c>
      <c r="P10" s="12">
        <f>_xlfn.STDEV.S(P4:P8)</f>
        <v>0.48906032347758299</v>
      </c>
    </row>
    <row r="11" spans="1:16" x14ac:dyDescent="0.3">
      <c r="A11" s="10" t="s">
        <v>17</v>
      </c>
      <c r="B11" s="14">
        <f t="shared" ref="B11:G11" si="6">B10/SQRT(5)</f>
        <v>0.23171965820793061</v>
      </c>
      <c r="C11" s="14">
        <f t="shared" si="6"/>
        <v>0.12540334923756932</v>
      </c>
      <c r="D11" s="14">
        <f t="shared" si="6"/>
        <v>0.5070798753648188</v>
      </c>
      <c r="E11" s="14">
        <f t="shared" si="6"/>
        <v>2.111871208194244E-2</v>
      </c>
      <c r="F11" s="14">
        <f t="shared" si="6"/>
        <v>6.1725197448044111E-2</v>
      </c>
      <c r="G11" s="14">
        <f t="shared" si="6"/>
        <v>0.1646025516205625</v>
      </c>
      <c r="M11" s="10" t="s">
        <v>17</v>
      </c>
      <c r="N11" s="14">
        <f>N10/SQRT(5)</f>
        <v>2.5768197453450253E-2</v>
      </c>
      <c r="O11" s="14">
        <f>O10/SQRT(5)</f>
        <v>0.26095210288480158</v>
      </c>
      <c r="P11" s="14">
        <f>P10/SQRT(5)</f>
        <v>0.21871442567878238</v>
      </c>
    </row>
    <row r="12" spans="1:16" x14ac:dyDescent="0.3">
      <c r="A12" s="10" t="s">
        <v>19</v>
      </c>
      <c r="B12" s="9">
        <f t="shared" ref="B12:G12" si="7">B3-B9</f>
        <v>6.5000000000011937E-2</v>
      </c>
      <c r="C12" s="9">
        <f t="shared" si="7"/>
        <v>-0.57600000000000762</v>
      </c>
      <c r="D12" s="9">
        <f t="shared" si="7"/>
        <v>-9.9999999999909051E-3</v>
      </c>
      <c r="E12" s="9">
        <f t="shared" si="7"/>
        <v>-0.3160000000000025</v>
      </c>
      <c r="F12" s="14">
        <f t="shared" si="7"/>
        <v>1.8760000000000048</v>
      </c>
      <c r="G12" s="9">
        <f t="shared" si="7"/>
        <v>2.4000000000000909E-2</v>
      </c>
      <c r="M12" s="10" t="s">
        <v>19</v>
      </c>
      <c r="N12" s="9">
        <f>N3-N9</f>
        <v>-0.51600000000000179</v>
      </c>
      <c r="O12" s="9">
        <f>O3-O9</f>
        <v>1.9489999999999981</v>
      </c>
      <c r="P12" s="9">
        <f>P3-P9</f>
        <v>-2.5109999999999992</v>
      </c>
    </row>
    <row r="13" spans="1:16" ht="15" thickBot="1" x14ac:dyDescent="0.35"/>
    <row r="14" spans="1:16" x14ac:dyDescent="0.3">
      <c r="A14" t="s">
        <v>10</v>
      </c>
      <c r="B14" s="1">
        <v>123.84</v>
      </c>
      <c r="C14" s="2">
        <v>82.34</v>
      </c>
      <c r="D14" s="2">
        <f>D20+E20</f>
        <v>180.03</v>
      </c>
      <c r="E14" s="2">
        <v>84.05</v>
      </c>
      <c r="F14" s="2">
        <v>67.11</v>
      </c>
      <c r="G14" s="3">
        <v>113.19</v>
      </c>
      <c r="N14" s="1">
        <v>43.13</v>
      </c>
      <c r="O14" s="2">
        <v>46.8</v>
      </c>
      <c r="P14" s="2">
        <v>36.409999999999997</v>
      </c>
    </row>
    <row r="15" spans="1:16" x14ac:dyDescent="0.3">
      <c r="B15" s="4">
        <v>123.13</v>
      </c>
      <c r="C15">
        <v>81.93</v>
      </c>
      <c r="D15">
        <f>D21+E21</f>
        <v>182.76</v>
      </c>
      <c r="E15">
        <v>84.09</v>
      </c>
      <c r="F15">
        <v>67.3</v>
      </c>
      <c r="G15" s="5">
        <v>113.64</v>
      </c>
      <c r="N15" s="4">
        <v>42.99</v>
      </c>
      <c r="O15">
        <v>46.53</v>
      </c>
      <c r="P15">
        <v>36.799999999999997</v>
      </c>
    </row>
    <row r="16" spans="1:16" x14ac:dyDescent="0.3">
      <c r="B16" s="4">
        <v>123.82</v>
      </c>
      <c r="C16">
        <v>82.61</v>
      </c>
      <c r="D16">
        <f>D22+E22</f>
        <v>180.07999999999998</v>
      </c>
      <c r="E16">
        <v>84.16</v>
      </c>
      <c r="F16">
        <v>67.2</v>
      </c>
      <c r="G16" s="5">
        <v>113.44</v>
      </c>
      <c r="N16" s="4">
        <v>42.99</v>
      </c>
      <c r="O16">
        <v>45.68</v>
      </c>
      <c r="P16">
        <v>36.86</v>
      </c>
    </row>
    <row r="17" spans="1:25" x14ac:dyDescent="0.3">
      <c r="B17" s="4">
        <v>124.41</v>
      </c>
      <c r="C17">
        <v>82.62</v>
      </c>
      <c r="D17">
        <f>D23+E23</f>
        <v>181.49</v>
      </c>
      <c r="E17">
        <v>84.16</v>
      </c>
      <c r="F17">
        <v>67.45</v>
      </c>
      <c r="G17" s="5">
        <v>112.67</v>
      </c>
      <c r="N17" s="4">
        <v>43.03</v>
      </c>
      <c r="O17">
        <v>45.44</v>
      </c>
      <c r="P17">
        <v>35.700000000000003</v>
      </c>
    </row>
    <row r="18" spans="1:25" ht="15" thickBot="1" x14ac:dyDescent="0.35">
      <c r="B18" s="6">
        <v>123.24</v>
      </c>
      <c r="C18" s="7">
        <v>82.38</v>
      </c>
      <c r="D18" s="7">
        <f>D24+E24</f>
        <v>180.84</v>
      </c>
      <c r="E18" s="7">
        <v>84.12</v>
      </c>
      <c r="F18" s="7">
        <v>67.14</v>
      </c>
      <c r="G18" s="8">
        <v>113.37</v>
      </c>
      <c r="N18" s="6">
        <v>43.05</v>
      </c>
      <c r="O18" s="7">
        <v>46.42</v>
      </c>
      <c r="P18" s="7">
        <v>36.799999999999997</v>
      </c>
    </row>
    <row r="19" spans="1:25" ht="15" thickBot="1" x14ac:dyDescent="0.35">
      <c r="O19" s="15"/>
      <c r="P19" s="15"/>
    </row>
    <row r="20" spans="1:25" x14ac:dyDescent="0.3">
      <c r="D20" s="1">
        <v>120.05</v>
      </c>
      <c r="E20" s="3">
        <v>59.98</v>
      </c>
      <c r="M20" t="s">
        <v>43</v>
      </c>
      <c r="N20" t="s">
        <v>39</v>
      </c>
      <c r="O20" t="s">
        <v>40</v>
      </c>
      <c r="P20" t="s">
        <v>41</v>
      </c>
      <c r="V20" t="s">
        <v>43</v>
      </c>
      <c r="W20" t="s">
        <v>39</v>
      </c>
      <c r="X20" t="s">
        <v>40</v>
      </c>
      <c r="Y20" t="s">
        <v>41</v>
      </c>
    </row>
    <row r="21" spans="1:25" x14ac:dyDescent="0.3">
      <c r="D21" s="4">
        <v>121.69</v>
      </c>
      <c r="E21" s="5">
        <v>61.07</v>
      </c>
      <c r="M21" t="s">
        <v>35</v>
      </c>
      <c r="N21">
        <v>105.979</v>
      </c>
      <c r="O21">
        <v>51.808999999999997</v>
      </c>
      <c r="P21">
        <v>110</v>
      </c>
      <c r="R21">
        <f>(N21+N22+N23)/3</f>
        <v>93.659666666666666</v>
      </c>
      <c r="S21">
        <f>(O21+O22+O23)/3</f>
        <v>48.603000000000002</v>
      </c>
      <c r="T21">
        <f>(P21+P22+P23)/3</f>
        <v>110</v>
      </c>
      <c r="V21" t="s">
        <v>35</v>
      </c>
      <c r="W21">
        <f>N21-$R$21</f>
        <v>12.319333333333333</v>
      </c>
      <c r="X21">
        <f>O21-$S$21</f>
        <v>3.205999999999996</v>
      </c>
      <c r="Y21">
        <f>P21-$T$21</f>
        <v>0</v>
      </c>
    </row>
    <row r="22" spans="1:25" x14ac:dyDescent="0.3">
      <c r="D22" s="4">
        <v>119.13</v>
      </c>
      <c r="E22" s="5">
        <v>60.95</v>
      </c>
      <c r="M22" t="s">
        <v>36</v>
      </c>
      <c r="N22">
        <v>80</v>
      </c>
      <c r="O22">
        <v>53</v>
      </c>
      <c r="P22">
        <v>125</v>
      </c>
      <c r="V22" t="s">
        <v>36</v>
      </c>
      <c r="W22">
        <f>N22-$R$21</f>
        <v>-13.659666666666666</v>
      </c>
      <c r="X22">
        <f>O22-$S$21</f>
        <v>4.3969999999999985</v>
      </c>
      <c r="Y22">
        <f>P22-$T$21</f>
        <v>15</v>
      </c>
    </row>
    <row r="23" spans="1:25" x14ac:dyDescent="0.3">
      <c r="D23" s="4">
        <v>120.71</v>
      </c>
      <c r="E23" s="5">
        <v>60.78</v>
      </c>
      <c r="M23" t="s">
        <v>37</v>
      </c>
      <c r="N23">
        <v>95</v>
      </c>
      <c r="O23">
        <v>41</v>
      </c>
      <c r="P23">
        <v>95</v>
      </c>
      <c r="V23" t="s">
        <v>37</v>
      </c>
      <c r="W23">
        <f>N23-$R$21</f>
        <v>1.3403333333333336</v>
      </c>
      <c r="X23">
        <f>O23-$S$21</f>
        <v>-7.6030000000000015</v>
      </c>
      <c r="Y23">
        <f>P23-$T$21</f>
        <v>-15</v>
      </c>
    </row>
    <row r="24" spans="1:25" ht="15" thickBot="1" x14ac:dyDescent="0.35">
      <c r="D24" s="6">
        <v>119.99</v>
      </c>
      <c r="E24" s="8">
        <v>60.85</v>
      </c>
      <c r="M24" t="s">
        <v>0</v>
      </c>
      <c r="N24">
        <f t="shared" ref="N24:P25" si="8">N22-N21</f>
        <v>-25.978999999999999</v>
      </c>
      <c r="O24">
        <f t="shared" si="8"/>
        <v>1.1910000000000025</v>
      </c>
      <c r="P24">
        <f t="shared" si="8"/>
        <v>15</v>
      </c>
      <c r="R24">
        <f>SQRT(N24^2+O24^2+P24^2)</f>
        <v>30.022107221179528</v>
      </c>
    </row>
    <row r="25" spans="1:25" x14ac:dyDescent="0.3">
      <c r="M25" t="s">
        <v>1</v>
      </c>
      <c r="N25">
        <f t="shared" si="8"/>
        <v>15</v>
      </c>
      <c r="O25">
        <f t="shared" si="8"/>
        <v>-12</v>
      </c>
      <c r="P25">
        <f t="shared" si="8"/>
        <v>-30</v>
      </c>
      <c r="R25">
        <f>SQRT(N25^2+O25^2+P25^2)</f>
        <v>35.62302626111375</v>
      </c>
    </row>
    <row r="26" spans="1:25" x14ac:dyDescent="0.3">
      <c r="A26" t="s">
        <v>11</v>
      </c>
      <c r="M26" t="s">
        <v>44</v>
      </c>
      <c r="N26">
        <f>N21-N23</f>
        <v>10.978999999999999</v>
      </c>
      <c r="O26">
        <f>O21-O23</f>
        <v>10.808999999999997</v>
      </c>
      <c r="P26">
        <f>P21-P23</f>
        <v>15</v>
      </c>
      <c r="R26">
        <f>SQRT(N26^2+O26^2+P26^2)</f>
        <v>21.502858461144182</v>
      </c>
    </row>
    <row r="27" spans="1:25" x14ac:dyDescent="0.3">
      <c r="A27" t="s">
        <v>12</v>
      </c>
      <c r="B27" t="s">
        <v>14</v>
      </c>
    </row>
    <row r="28" spans="1:25" x14ac:dyDescent="0.3">
      <c r="A28" t="s">
        <v>13</v>
      </c>
      <c r="B28" t="s">
        <v>15</v>
      </c>
      <c r="C28" t="s">
        <v>20</v>
      </c>
    </row>
    <row r="29" spans="1:25" x14ac:dyDescent="0.3">
      <c r="O29" t="s">
        <v>21</v>
      </c>
      <c r="T29" s="15"/>
      <c r="U29" s="15"/>
    </row>
    <row r="30" spans="1:25" x14ac:dyDescent="0.3">
      <c r="A30" t="s">
        <v>18</v>
      </c>
      <c r="O30" s="10"/>
      <c r="P30" s="10" t="s">
        <v>22</v>
      </c>
      <c r="Q30" s="10" t="s">
        <v>23</v>
      </c>
      <c r="R30" s="10" t="s">
        <v>24</v>
      </c>
      <c r="S30" s="10" t="s">
        <v>25</v>
      </c>
      <c r="T30" s="16" t="s">
        <v>27</v>
      </c>
      <c r="U30" s="16" t="s">
        <v>28</v>
      </c>
    </row>
    <row r="31" spans="1:25" x14ac:dyDescent="0.3">
      <c r="A31" t="s">
        <v>26</v>
      </c>
      <c r="O31" s="10" t="s">
        <v>6</v>
      </c>
      <c r="P31" s="13">
        <v>93.671000000000006</v>
      </c>
      <c r="Q31" s="13">
        <v>109.42400000000001</v>
      </c>
      <c r="R31" s="13">
        <v>79.012</v>
      </c>
      <c r="S31" s="13">
        <v>86.366</v>
      </c>
      <c r="T31" s="13">
        <v>123.02</v>
      </c>
      <c r="U31" s="13">
        <v>136.46100000000001</v>
      </c>
    </row>
    <row r="32" spans="1:25" x14ac:dyDescent="0.3">
      <c r="O32" s="10" t="s">
        <v>7</v>
      </c>
      <c r="P32" s="9">
        <f t="shared" ref="P32:U32" si="9">P42-12.5</f>
        <v>88.8</v>
      </c>
      <c r="Q32" s="9">
        <f t="shared" si="9"/>
        <v>97.36</v>
      </c>
      <c r="R32" s="9">
        <f t="shared" si="9"/>
        <v>72.540000000000006</v>
      </c>
      <c r="S32" s="9">
        <f t="shared" si="9"/>
        <v>70.709999999999994</v>
      </c>
      <c r="T32" s="9">
        <f t="shared" si="9"/>
        <v>110.23</v>
      </c>
      <c r="U32" s="9">
        <f t="shared" si="9"/>
        <v>128.13</v>
      </c>
    </row>
    <row r="33" spans="1:21" x14ac:dyDescent="0.3">
      <c r="A33" t="s">
        <v>33</v>
      </c>
      <c r="O33" s="10"/>
      <c r="P33" s="9">
        <f>P43-12.5</f>
        <v>89.67</v>
      </c>
      <c r="Q33" s="9">
        <f>Q43-12.5</f>
        <v>95.9</v>
      </c>
      <c r="R33" s="9">
        <f>R43-12.5</f>
        <v>71.53</v>
      </c>
      <c r="S33" s="9">
        <f t="shared" ref="S33:U36" si="10">S43-12.5</f>
        <v>71.349999999999994</v>
      </c>
      <c r="T33" s="9">
        <f t="shared" si="10"/>
        <v>110.79</v>
      </c>
      <c r="U33" s="9">
        <f t="shared" si="10"/>
        <v>127.84</v>
      </c>
    </row>
    <row r="34" spans="1:21" x14ac:dyDescent="0.3">
      <c r="B34" t="s">
        <v>34</v>
      </c>
      <c r="C34" t="s">
        <v>35</v>
      </c>
      <c r="D34" t="s">
        <v>36</v>
      </c>
      <c r="E34" t="s">
        <v>37</v>
      </c>
      <c r="F34" t="s">
        <v>38</v>
      </c>
      <c r="O34" s="10"/>
      <c r="P34" s="9">
        <f t="shared" ref="P34:Q36" si="11">P44-12.5</f>
        <v>88.5</v>
      </c>
      <c r="Q34" s="9">
        <f t="shared" si="11"/>
        <v>96.33</v>
      </c>
      <c r="R34" s="9">
        <f>R44-12.5</f>
        <v>71.84</v>
      </c>
      <c r="S34" s="9">
        <f t="shared" si="10"/>
        <v>71.67</v>
      </c>
      <c r="T34" s="9">
        <f t="shared" si="10"/>
        <v>111.7</v>
      </c>
      <c r="U34" s="9">
        <f t="shared" si="10"/>
        <v>125.58000000000001</v>
      </c>
    </row>
    <row r="35" spans="1:21" x14ac:dyDescent="0.3">
      <c r="A35" t="s">
        <v>39</v>
      </c>
      <c r="B35" s="25">
        <v>-4.9240000000000004</v>
      </c>
      <c r="C35">
        <v>-12</v>
      </c>
      <c r="D35">
        <v>13.006</v>
      </c>
      <c r="E35">
        <v>17.231000000000002</v>
      </c>
      <c r="F35">
        <v>-28.344999999999999</v>
      </c>
      <c r="O35" s="10"/>
      <c r="P35" s="9">
        <f t="shared" si="11"/>
        <v>87.83</v>
      </c>
      <c r="Q35" s="9">
        <f t="shared" si="11"/>
        <v>97.2</v>
      </c>
      <c r="R35" s="9">
        <f>R45-12.5</f>
        <v>72.09</v>
      </c>
      <c r="S35" s="9">
        <f t="shared" si="10"/>
        <v>71.8</v>
      </c>
      <c r="T35" s="9">
        <f t="shared" si="10"/>
        <v>110.2</v>
      </c>
      <c r="U35" s="9">
        <f t="shared" si="10"/>
        <v>127.59</v>
      </c>
    </row>
    <row r="36" spans="1:21" x14ac:dyDescent="0.3">
      <c r="A36" t="s">
        <v>40</v>
      </c>
      <c r="B36" s="25">
        <v>224.18100000000001</v>
      </c>
      <c r="C36">
        <v>164</v>
      </c>
      <c r="D36">
        <v>229.065</v>
      </c>
      <c r="E36">
        <v>117.982</v>
      </c>
      <c r="F36">
        <v>65.686000000000007</v>
      </c>
      <c r="O36" s="10"/>
      <c r="P36" s="9">
        <f t="shared" si="11"/>
        <v>89.47</v>
      </c>
      <c r="Q36" s="9">
        <f t="shared" si="11"/>
        <v>96.46</v>
      </c>
      <c r="R36" s="9">
        <f>R46-12.5</f>
        <v>71.94</v>
      </c>
      <c r="S36" s="9">
        <f t="shared" si="10"/>
        <v>72.33</v>
      </c>
      <c r="T36" s="9">
        <f t="shared" si="10"/>
        <v>110.8</v>
      </c>
      <c r="U36" s="9">
        <f t="shared" si="10"/>
        <v>127.1</v>
      </c>
    </row>
    <row r="37" spans="1:21" x14ac:dyDescent="0.3">
      <c r="A37" t="s">
        <v>41</v>
      </c>
      <c r="B37" s="25">
        <v>36.219000000000001</v>
      </c>
      <c r="C37">
        <v>15</v>
      </c>
      <c r="D37">
        <v>0</v>
      </c>
      <c r="E37">
        <v>0</v>
      </c>
      <c r="F37">
        <v>0</v>
      </c>
      <c r="O37" s="10" t="s">
        <v>8</v>
      </c>
      <c r="P37" s="11">
        <f t="shared" ref="P37:U37" si="12">AVERAGE(P32:P36)</f>
        <v>88.853999999999999</v>
      </c>
      <c r="Q37" s="11">
        <f t="shared" si="12"/>
        <v>96.649999999999991</v>
      </c>
      <c r="R37" s="11">
        <f t="shared" si="12"/>
        <v>71.988</v>
      </c>
      <c r="S37" s="11">
        <f t="shared" si="12"/>
        <v>71.572000000000003</v>
      </c>
      <c r="T37" s="11">
        <f t="shared" si="12"/>
        <v>110.744</v>
      </c>
      <c r="U37" s="11">
        <f t="shared" si="12"/>
        <v>127.248</v>
      </c>
    </row>
    <row r="38" spans="1:21" x14ac:dyDescent="0.3">
      <c r="O38" s="10" t="s">
        <v>16</v>
      </c>
      <c r="P38" s="12">
        <f t="shared" ref="P38:U38" si="13">_xlfn.STDEV.S(P32:P36)</f>
        <v>0.74533884911495218</v>
      </c>
      <c r="Q38" s="12">
        <f t="shared" si="13"/>
        <v>0.61392181912683252</v>
      </c>
      <c r="R38" s="12">
        <f t="shared" si="13"/>
        <v>0.37049966261793199</v>
      </c>
      <c r="S38" s="12">
        <f t="shared" si="13"/>
        <v>0.59759518070346118</v>
      </c>
      <c r="T38" s="12">
        <f t="shared" si="13"/>
        <v>0.60813649783580637</v>
      </c>
      <c r="U38" s="12">
        <f t="shared" si="13"/>
        <v>1.0061659902819164</v>
      </c>
    </row>
    <row r="39" spans="1:21" x14ac:dyDescent="0.3">
      <c r="A39" t="s">
        <v>42</v>
      </c>
      <c r="O39" s="10" t="s">
        <v>17</v>
      </c>
      <c r="P39" s="14">
        <f t="shared" ref="P39:U39" si="14">P38/SQRT(5)</f>
        <v>0.33332566657849838</v>
      </c>
      <c r="Q39" s="14">
        <f t="shared" si="14"/>
        <v>0.27455418408758558</v>
      </c>
      <c r="R39" s="14">
        <f t="shared" si="14"/>
        <v>0.16569248625088673</v>
      </c>
      <c r="S39" s="14">
        <f t="shared" si="14"/>
        <v>0.26725268941584196</v>
      </c>
      <c r="T39" s="14">
        <f t="shared" si="14"/>
        <v>0.27196690975190335</v>
      </c>
      <c r="U39" s="14">
        <f t="shared" si="14"/>
        <v>0.44997111018375158</v>
      </c>
    </row>
    <row r="40" spans="1:21" x14ac:dyDescent="0.3">
      <c r="B40" t="s">
        <v>34</v>
      </c>
      <c r="C40" t="s">
        <v>35</v>
      </c>
      <c r="D40" t="s">
        <v>36</v>
      </c>
      <c r="E40" t="s">
        <v>37</v>
      </c>
      <c r="F40" t="s">
        <v>38</v>
      </c>
      <c r="O40" s="10" t="s">
        <v>19</v>
      </c>
      <c r="P40" s="9">
        <f t="shared" ref="P40:U40" si="15">P31-P37</f>
        <v>4.8170000000000073</v>
      </c>
      <c r="Q40" s="9">
        <f t="shared" si="15"/>
        <v>12.774000000000015</v>
      </c>
      <c r="R40" s="9">
        <f t="shared" si="15"/>
        <v>7.0240000000000009</v>
      </c>
      <c r="S40" s="9">
        <f t="shared" si="15"/>
        <v>14.793999999999997</v>
      </c>
      <c r="T40" s="9">
        <f t="shared" si="15"/>
        <v>12.275999999999996</v>
      </c>
      <c r="U40" s="9">
        <f t="shared" si="15"/>
        <v>9.2130000000000081</v>
      </c>
    </row>
    <row r="41" spans="1:21" ht="15" thickBot="1" x14ac:dyDescent="0.35">
      <c r="A41" t="s">
        <v>39</v>
      </c>
      <c r="B41" s="25">
        <f>B35-$B$35</f>
        <v>0</v>
      </c>
      <c r="C41" s="25">
        <f>C35-$B$35</f>
        <v>-7.0759999999999996</v>
      </c>
      <c r="D41" s="25">
        <f>D35-$B$35</f>
        <v>17.93</v>
      </c>
      <c r="E41" s="25">
        <f>E35-$B$35</f>
        <v>22.155000000000001</v>
      </c>
      <c r="F41" s="25">
        <f>F35-$B$35</f>
        <v>-23.420999999999999</v>
      </c>
      <c r="T41" s="15"/>
      <c r="U41" s="15"/>
    </row>
    <row r="42" spans="1:21" x14ac:dyDescent="0.3">
      <c r="A42" t="s">
        <v>40</v>
      </c>
      <c r="B42" s="25">
        <f>B36-$B$36</f>
        <v>0</v>
      </c>
      <c r="C42" s="25">
        <f>C36-$B$36</f>
        <v>-60.181000000000012</v>
      </c>
      <c r="D42" s="25">
        <f>D36-$B$36</f>
        <v>4.8839999999999861</v>
      </c>
      <c r="E42" s="25">
        <f>E36-$B$36</f>
        <v>-106.19900000000001</v>
      </c>
      <c r="F42" s="25">
        <f>F36-$B$36</f>
        <v>-158.495</v>
      </c>
      <c r="P42" s="1">
        <v>101.3</v>
      </c>
      <c r="Q42" s="2">
        <v>109.86</v>
      </c>
      <c r="R42" s="2">
        <v>85.04</v>
      </c>
      <c r="S42" s="3">
        <v>83.21</v>
      </c>
      <c r="T42" s="17">
        <v>122.73</v>
      </c>
      <c r="U42" s="18">
        <v>140.63</v>
      </c>
    </row>
    <row r="43" spans="1:21" x14ac:dyDescent="0.3">
      <c r="A43" t="s">
        <v>41</v>
      </c>
      <c r="B43" s="25">
        <f>B37-$B$37</f>
        <v>0</v>
      </c>
      <c r="C43" s="25">
        <f>C37-$B$37</f>
        <v>-21.219000000000001</v>
      </c>
      <c r="D43" s="25">
        <f>D37-$B$37</f>
        <v>-36.219000000000001</v>
      </c>
      <c r="E43" s="25">
        <f>E37-$B$37</f>
        <v>-36.219000000000001</v>
      </c>
      <c r="F43" s="25">
        <f>F37-$B$37</f>
        <v>-36.219000000000001</v>
      </c>
      <c r="P43" s="4">
        <v>102.17</v>
      </c>
      <c r="Q43">
        <v>108.4</v>
      </c>
      <c r="R43">
        <v>84.03</v>
      </c>
      <c r="S43" s="5">
        <v>83.85</v>
      </c>
      <c r="T43" s="19">
        <v>123.29</v>
      </c>
      <c r="U43" s="20">
        <v>140.34</v>
      </c>
    </row>
    <row r="44" spans="1:21" x14ac:dyDescent="0.3">
      <c r="P44" s="4">
        <v>101</v>
      </c>
      <c r="Q44">
        <v>108.83</v>
      </c>
      <c r="R44">
        <v>84.34</v>
      </c>
      <c r="S44" s="5">
        <v>84.17</v>
      </c>
      <c r="T44" s="19">
        <v>124.2</v>
      </c>
      <c r="U44" s="20">
        <v>138.08000000000001</v>
      </c>
    </row>
    <row r="45" spans="1:21" x14ac:dyDescent="0.3">
      <c r="P45" s="4">
        <v>100.33</v>
      </c>
      <c r="Q45">
        <v>109.7</v>
      </c>
      <c r="R45">
        <v>84.59</v>
      </c>
      <c r="S45" s="5">
        <v>84.3</v>
      </c>
      <c r="T45" s="19">
        <v>122.7</v>
      </c>
      <c r="U45" s="20">
        <v>140.09</v>
      </c>
    </row>
    <row r="46" spans="1:21" ht="15" thickBot="1" x14ac:dyDescent="0.35">
      <c r="P46" s="6">
        <v>101.97</v>
      </c>
      <c r="Q46" s="7">
        <v>108.96</v>
      </c>
      <c r="R46" s="7">
        <v>84.44</v>
      </c>
      <c r="S46" s="8">
        <v>84.83</v>
      </c>
      <c r="T46" s="21">
        <v>123.3</v>
      </c>
      <c r="U46" s="22">
        <v>139.6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 CEEIBIS</dc:creator>
  <cp:lastModifiedBy>UPM CEEIBIS</cp:lastModifiedBy>
  <dcterms:created xsi:type="dcterms:W3CDTF">2026-05-10T15:39:04Z</dcterms:created>
  <dcterms:modified xsi:type="dcterms:W3CDTF">2026-06-01T10:01:34Z</dcterms:modified>
</cp:coreProperties>
</file>